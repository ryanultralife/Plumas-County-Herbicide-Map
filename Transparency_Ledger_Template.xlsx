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onations" sheetId="2" state="visible" r:id="rId4"/>
    <sheet name="Expenses" sheetId="3" state="visible" r:id="rId5"/>
    <sheet name="Hours" sheetId="4" state="visible" r:id="rId6"/>
    <sheet name="How to u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<sst xmlns="http://schemas.openxmlformats.org/spreadsheetml/2006/main" count="126" uniqueCount="113">
  <si>
    <t xml:space="preserve">Plumas Waterway Testing — Public Transparency Ledger</t>
  </si>
  <si>
    <t xml:space="preserve">Live summary. All figures pull automatically from the Donations, Expenses, and Hours tabs.</t>
  </si>
  <si>
    <t xml:space="preserve">Money in &amp; out</t>
  </si>
  <si>
    <t xml:space="preserve">Gross donations received</t>
  </si>
  <si>
    <t xml:space="preserve">Platform &amp; processing fees</t>
  </si>
  <si>
    <t xml:space="preserve">Net donations (kept)</t>
  </si>
  <si>
    <t xml:space="preserve">Total spent (all expenses)</t>
  </si>
  <si>
    <t xml:space="preserve">Cash on hand</t>
  </si>
  <si>
    <t xml:space="preserve">Spending by purpose</t>
  </si>
  <si>
    <t xml:space="preserve">Bucket</t>
  </si>
  <si>
    <t xml:space="preserve">Spent</t>
  </si>
  <si>
    <t xml:space="preserve">% of spend</t>
  </si>
  <si>
    <t xml:space="preserve">Operations (incl. billed hours)</t>
  </si>
  <si>
    <t xml:space="preserve">Testing (labs, supplies, contractors)</t>
  </si>
  <si>
    <t xml:space="preserve">Admin (fees, filings, insurance)</t>
  </si>
  <si>
    <t xml:space="preserve">Total</t>
  </si>
  <si>
    <t xml:space="preserve">Donations by type</t>
  </si>
  <si>
    <t xml:space="preserve">Type</t>
  </si>
  <si>
    <t xml:space="preserve">Net received</t>
  </si>
  <si>
    <t xml:space="preserve">Unrestricted</t>
  </si>
  <si>
    <t xml:space="preserve">Restricted to testing</t>
  </si>
  <si>
    <t xml:space="preserve">Labor transparency</t>
  </si>
  <si>
    <t xml:space="preserve">Total hours logged</t>
  </si>
  <si>
    <t xml:space="preserve">Total $ value of logged hours</t>
  </si>
  <si>
    <t xml:space="preserve">Blended hourly rate</t>
  </si>
  <si>
    <t xml:space="preserve">Note: logged hours show labor contributed. Cash actually paid for that labor appears in Expenses (bucket = Operations), so totals are not double-counted.</t>
  </si>
  <si>
    <t xml:space="preserve">Donations In</t>
  </si>
  <si>
    <t xml:space="preserve">Record every gift. Net = Gross - Fees. Sample rows are shaded — overwrite or delete them.</t>
  </si>
  <si>
    <t xml:space="preserve">Date</t>
  </si>
  <si>
    <t xml:space="preserve">Donor / source</t>
  </si>
  <si>
    <t xml:space="preserve">Gross amount</t>
  </si>
  <si>
    <t xml:space="preserve">Fees</t>
  </si>
  <si>
    <t xml:space="preserve">Net</t>
  </si>
  <si>
    <t xml:space="preserve">Platform</t>
  </si>
  <si>
    <t xml:space="preserve">Notes</t>
  </si>
  <si>
    <t xml:space="preserve">2026-07-01</t>
  </si>
  <si>
    <t xml:space="preserve">Online donor (J. Rivera)</t>
  </si>
  <si>
    <t xml:space="preserve">Givebutter</t>
  </si>
  <si>
    <t xml:space="preserve">Tips on; donor covered fees</t>
  </si>
  <si>
    <t xml:space="preserve">2026-07-03</t>
  </si>
  <si>
    <t xml:space="preserve">Community fund grant</t>
  </si>
  <si>
    <t xml:space="preserve">Restricted-Testing</t>
  </si>
  <si>
    <t xml:space="preserve">Check</t>
  </si>
  <si>
    <t xml:space="preserve">For Q3 lab fees</t>
  </si>
  <si>
    <t xml:space="preserve">2026-07-05</t>
  </si>
  <si>
    <t xml:space="preserve">Anonymous</t>
  </si>
  <si>
    <t xml:space="preserve">Donorbox</t>
  </si>
  <si>
    <t xml:space="preserve">Expenses Out</t>
  </si>
  <si>
    <t xml:space="preserve">Every dollar spent, tagged by purpose. Paying someone for logged hours? Use bucket = Operations.</t>
  </si>
  <si>
    <t xml:space="preserve">Payee / description</t>
  </si>
  <si>
    <t xml:space="preserve">Amount</t>
  </si>
  <si>
    <t xml:space="preserve">Paid via</t>
  </si>
  <si>
    <t xml:space="preserve">Linked to (person/invoice)</t>
  </si>
  <si>
    <t xml:space="preserve">2026-07-10</t>
  </si>
  <si>
    <t xml:space="preserve">R. Vukich — map dev &amp; data (12.5 hrs)</t>
  </si>
  <si>
    <t xml:space="preserve">Operations</t>
  </si>
  <si>
    <t xml:space="preserve">Bank transfer</t>
  </si>
  <si>
    <t xml:space="preserve">Hours tab, wk 27</t>
  </si>
  <si>
    <t xml:space="preserve">Approved rate $50/hr</t>
  </si>
  <si>
    <t xml:space="preserve">2026-07-15</t>
  </si>
  <si>
    <t xml:space="preserve">NorCal Analytical Lab — glyphosate panel</t>
  </si>
  <si>
    <t xml:space="preserve">Testing</t>
  </si>
  <si>
    <t xml:space="preserve">Card</t>
  </si>
  <si>
    <t xml:space="preserve">Invoice #1042</t>
  </si>
  <si>
    <t xml:space="preserve">3 sites</t>
  </si>
  <si>
    <t xml:space="preserve">Givebutter fees (covered)</t>
  </si>
  <si>
    <t xml:space="preserve">Admin</t>
  </si>
  <si>
    <t xml:space="preserve">Auto</t>
  </si>
  <si>
    <t xml:space="preserve">2026-07-20</t>
  </si>
  <si>
    <t xml:space="preserve">CA AG registration (CT-1)</t>
  </si>
  <si>
    <t xml:space="preserve">Hours Log</t>
  </si>
  <si>
    <t xml:space="preserve">Transparent record of time spent. $ value = Hours × Rate (auto). This documents labor; cash paid shows in Expenses.</t>
  </si>
  <si>
    <t xml:space="preserve">Person</t>
  </si>
  <si>
    <t xml:space="preserve">Task / description</t>
  </si>
  <si>
    <t xml:space="preserve">Role</t>
  </si>
  <si>
    <t xml:space="preserve">Hours</t>
  </si>
  <si>
    <t xml:space="preserve">Rate ($/hr)</t>
  </si>
  <si>
    <t xml:space="preserve">$ value</t>
  </si>
  <si>
    <t xml:space="preserve">Approved by</t>
  </si>
  <si>
    <t xml:space="preserve">2026-07-08</t>
  </si>
  <si>
    <t xml:space="preserve">R. Vukich</t>
  </si>
  <si>
    <t xml:space="preserve">Build donate feature + map updates</t>
  </si>
  <si>
    <t xml:space="preserve">Tech/Operations</t>
  </si>
  <si>
    <t xml:space="preserve">Board 6/30</t>
  </si>
  <si>
    <t xml:space="preserve">2026-07-09</t>
  </si>
  <si>
    <t xml:space="preserve">Data scrape + QA of application records</t>
  </si>
  <si>
    <t xml:space="preserve">Data</t>
  </si>
  <si>
    <t xml:space="preserve">2026-07-12</t>
  </si>
  <si>
    <t xml:space="preserve">Volunteer (M. Lee)</t>
  </si>
  <si>
    <t xml:space="preserve">Water sampling, 3 sites</t>
  </si>
  <si>
    <t xml:space="preserve">Field/Testing</t>
  </si>
  <si>
    <t xml:space="preserve">How to use this ledger</t>
  </si>
  <si>
    <t xml:space="preserve">A plain-language guide. Keep this tab public alongside the others.</t>
  </si>
  <si>
    <t xml:space="preserve">Purpose</t>
  </si>
  <si>
    <t xml:space="preserve">This ledger is the org's public promise of transparency: every dollar in, every dollar out, and every hour billed, visible to anyone.</t>
  </si>
  <si>
    <t xml:space="preserve">1. Log donations</t>
  </si>
  <si>
    <t xml:space="preserve">On the Donations tab, add each gift: gross amount, fees, and whether it was unrestricted or restricted to testing. Net is calculated for you.</t>
  </si>
  <si>
    <t xml:space="preserve">2. Log expenses</t>
  </si>
  <si>
    <t xml:space="preserve">On the Expenses tab, record each payment and tag its Bucket: Operations (includes paying people for logged hours), Testing, or Admin.</t>
  </si>
  <si>
    <t xml:space="preserve">3. Log hours</t>
  </si>
  <si>
    <t xml:space="preserve">On the Hours tab, record who worked, on what, for how long, at what board-approved rate. The $ value calculates automatically.</t>
  </si>
  <si>
    <t xml:space="preserve">4. Read the Dashboard</t>
  </si>
  <si>
    <t xml:space="preserve">Everything rolls up on the Dashboard: money in/out, cash on hand, spend by purpose, and labor contributed. Nothing to update there.</t>
  </si>
  <si>
    <t xml:space="preserve">Avoid double-counting</t>
  </si>
  <si>
    <t xml:space="preserve">Logged hours show labor contributed. The actual cash paid for that labor is entered once, in Expenses, under the Operations bucket.</t>
  </si>
  <si>
    <t xml:space="preserve">Restricted funds</t>
  </si>
  <si>
    <t xml:space="preserve">If a donor says 'for testing,' mark it Restricted-Testing and make sure testing spending is at least that amount. The Dashboard shows both.</t>
  </si>
  <si>
    <t xml:space="preserve">Publishing</t>
  </si>
  <si>
    <t xml:space="preserve">Share a read-only copy (Google Sheets 'view only', a PDF export, or an embedded view) on the website. Update monthly.</t>
  </si>
  <si>
    <t xml:space="preserve">Good governance</t>
  </si>
  <si>
    <t xml:space="preserve">Have the board approve hourly rates in advance and record the approval date in the 'Approved by' column. Paid people should recuse from voting on their own pay.</t>
  </si>
  <si>
    <t xml:space="preserve">Not legal/tax advice</t>
  </si>
  <si>
    <t xml:space="preserve">This template supports transparency but isn't a substitute for a bookkeeper or CPA at tax time.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</si>
</sst>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\$#,##0;&quot;($&quot;#,##0\);\-"/>
    <numFmt numFmtId="167" formatCode="0.0%"/>
    <numFmt numFmtId="168" formatCode="#,##0.0"/>
    <numFmt numFmtId="169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1F7"/>
        <bgColor rgb="FFFFF4E6"/>
      </patternFill>
    </fill>
    <fill>
      <patternFill patternType="solid">
        <fgColor rgb="FF1F3A5F"/>
        <bgColor rgb="FF333333"/>
      </patternFill>
    </fill>
    <fill>
      <patternFill patternType="solid">
        <fgColor rgb="FFFFF4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6"/>
      <rgbColor rgb="FFEAF1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SUM(Donations!C2:C1000)</f>
        <v>2650</v>
      </c>
    </row>
    <row r="6" customFormat="false" ht="15" hidden="false" customHeight="false" outlineLevel="0" collapsed="false">
      <c r="A6" s="4" t="s">
        <v>4</v>
      </c>
      <c r="B6" s="5" t="n">
        <f aca="false">SUM(Donations!D2:D1000)</f>
        <v>4.95</v>
      </c>
    </row>
    <row r="7" customFormat="false" ht="15" hidden="false" customHeight="false" outlineLevel="0" collapsed="false">
      <c r="A7" s="4" t="s">
        <v>5</v>
      </c>
      <c r="B7" s="5" t="n">
        <f aca="false">SUM(Donations!E2:E1000)</f>
        <v>2645.05</v>
      </c>
    </row>
    <row r="8" customFormat="false" ht="15" hidden="false" customHeight="false" outlineLevel="0" collapsed="false">
      <c r="A8" s="4" t="s">
        <v>6</v>
      </c>
      <c r="B8" s="5" t="n">
        <f aca="false">SUM(Expenses!D2:D1000)</f>
        <v>1155</v>
      </c>
    </row>
    <row r="9" customFormat="false" ht="15" hidden="false" customHeight="false" outlineLevel="0" collapsed="false">
      <c r="A9" s="6" t="s">
        <v>7</v>
      </c>
      <c r="B9" s="7" t="n">
        <f aca="false">B7-B8</f>
        <v>1490.05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8" t="s">
        <v>9</v>
      </c>
      <c r="B12" s="8" t="s">
        <v>10</v>
      </c>
      <c r="C12" s="8" t="s">
        <v>11</v>
      </c>
    </row>
    <row r="13" customFormat="false" ht="15" hidden="false" customHeight="false" outlineLevel="0" collapsed="false">
      <c r="A13" s="9" t="s">
        <v>12</v>
      </c>
      <c r="B13" s="10" t="n">
        <f aca="false">SUMIF(Expenses!C2:C1000,"Operations",Expenses!D2:D1000)</f>
        <v>625</v>
      </c>
      <c r="C13" s="11" t="n">
        <f aca="false">IF($B$8=0,0,B13/$B$8)</f>
        <v>0.541125541125541</v>
      </c>
    </row>
    <row r="14" customFormat="false" ht="15" hidden="false" customHeight="false" outlineLevel="0" collapsed="false">
      <c r="A14" s="9" t="s">
        <v>13</v>
      </c>
      <c r="B14" s="10" t="n">
        <f aca="false">SUMIF(Expenses!C2:C1000,"Testing",Expenses!D2:D1000)</f>
        <v>480</v>
      </c>
      <c r="C14" s="11" t="n">
        <f aca="false">IF($B$8=0,0,B14/$B$8)</f>
        <v>0.415584415584416</v>
      </c>
    </row>
    <row r="15" customFormat="false" ht="15" hidden="false" customHeight="false" outlineLevel="0" collapsed="false">
      <c r="A15" s="9" t="s">
        <v>14</v>
      </c>
      <c r="B15" s="10" t="n">
        <f aca="false">SUMIF(Expenses!C2:C1000,"Admin",Expenses!D2:D1000)</f>
        <v>50</v>
      </c>
      <c r="C15" s="11" t="n">
        <f aca="false">IF($B$8=0,0,B15/$B$8)</f>
        <v>0.0432900432900433</v>
      </c>
    </row>
    <row r="16" customFormat="false" ht="15" hidden="false" customHeight="false" outlineLevel="0" collapsed="false">
      <c r="A16" s="4" t="s">
        <v>15</v>
      </c>
      <c r="B16" s="12" t="n">
        <f aca="false">SUM(B13:B15)</f>
        <v>1155</v>
      </c>
      <c r="C16" s="13"/>
    </row>
    <row r="18" customFormat="false" ht="15" hidden="false" customHeight="false" outlineLevel="0" collapsed="false">
      <c r="A18" s="3" t="s">
        <v>16</v>
      </c>
    </row>
    <row r="19" customFormat="false" ht="15" hidden="false" customHeight="false" outlineLevel="0" collapsed="false">
      <c r="A19" s="8" t="s">
        <v>17</v>
      </c>
      <c r="B19" s="8" t="s">
        <v>18</v>
      </c>
    </row>
    <row r="20" customFormat="false" ht="15" hidden="false" customHeight="false" outlineLevel="0" collapsed="false">
      <c r="A20" s="9" t="s">
        <v>19</v>
      </c>
      <c r="B20" s="10" t="n">
        <f aca="false">SUMIF(Donations!F2:F1000,"Unrestricted",Donations!E2:E1000)</f>
        <v>145.05</v>
      </c>
    </row>
    <row r="21" customFormat="false" ht="15" hidden="false" customHeight="false" outlineLevel="0" collapsed="false">
      <c r="A21" s="9" t="s">
        <v>20</v>
      </c>
      <c r="B21" s="10" t="n">
        <f aca="false">SUMIF(Donations!F2:F1000,"Restricted-Testing",Donations!E2:E1000)</f>
        <v>2500</v>
      </c>
    </row>
    <row r="24" customFormat="false" ht="15" hidden="false" customHeight="false" outlineLevel="0" collapsed="false">
      <c r="A24" s="3" t="s">
        <v>21</v>
      </c>
    </row>
    <row r="25" customFormat="false" ht="15" hidden="false" customHeight="false" outlineLevel="0" collapsed="false">
      <c r="A25" s="4" t="s">
        <v>22</v>
      </c>
      <c r="B25" s="14" t="n">
        <f aca="false">SUM(Hours!E2:E1000)</f>
        <v>16.5</v>
      </c>
    </row>
    <row r="26" customFormat="false" ht="15" hidden="false" customHeight="false" outlineLevel="0" collapsed="false">
      <c r="A26" s="4" t="s">
        <v>23</v>
      </c>
      <c r="B26" s="5" t="n">
        <f aca="false">SUM(Hours!G2:G1000)</f>
        <v>625</v>
      </c>
    </row>
    <row r="27" customFormat="false" ht="15" hidden="false" customHeight="false" outlineLevel="0" collapsed="false">
      <c r="A27" s="4" t="s">
        <v>24</v>
      </c>
      <c r="B27" s="15" t="n">
        <f aca="false">IF(B25=0,0,B26/B25)</f>
        <v>37.8787878787879</v>
      </c>
    </row>
    <row r="29" customFormat="false" ht="23.85" hidden="false" customHeight="true" outlineLevel="0" collapsed="false">
      <c r="A29" s="16" t="s">
        <v>25</v>
      </c>
      <c r="B29" s="16"/>
      <c r="C29" s="16"/>
      <c r="D29" s="16"/>
    </row>
  </sheetData>
  <mergeCells count="1"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34"/>
  </cols>
  <sheetData>
    <row r="1" customFormat="false" ht="19.7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8" t="s">
        <v>28</v>
      </c>
      <c r="B4" s="8" t="s">
        <v>29</v>
      </c>
      <c r="C4" s="8" t="s">
        <v>30</v>
      </c>
      <c r="D4" s="8" t="s">
        <v>31</v>
      </c>
      <c r="E4" s="8" t="s">
        <v>32</v>
      </c>
      <c r="F4" s="8" t="s">
        <v>17</v>
      </c>
      <c r="G4" s="8" t="s">
        <v>33</v>
      </c>
      <c r="H4" s="8" t="s">
        <v>34</v>
      </c>
    </row>
    <row r="5" customFormat="false" ht="15" hidden="false" customHeight="false" outlineLevel="0" collapsed="false">
      <c r="A5" s="17" t="s">
        <v>35</v>
      </c>
      <c r="B5" s="18" t="s">
        <v>36</v>
      </c>
      <c r="C5" s="19" t="n">
        <v>100</v>
      </c>
      <c r="D5" s="19" t="n">
        <v>3.2</v>
      </c>
      <c r="E5" s="19" t="n">
        <f aca="false">C5-D5</f>
        <v>96.8</v>
      </c>
      <c r="F5" s="18" t="s">
        <v>19</v>
      </c>
      <c r="G5" s="18" t="s">
        <v>37</v>
      </c>
      <c r="H5" s="20" t="s">
        <v>38</v>
      </c>
    </row>
    <row r="6" customFormat="false" ht="15" hidden="false" customHeight="false" outlineLevel="0" collapsed="false">
      <c r="A6" s="17" t="s">
        <v>39</v>
      </c>
      <c r="B6" s="18" t="s">
        <v>40</v>
      </c>
      <c r="C6" s="19" t="n">
        <v>2500</v>
      </c>
      <c r="D6" s="19" t="n">
        <v>0</v>
      </c>
      <c r="E6" s="19" t="n">
        <f aca="false">C6-D6</f>
        <v>2500</v>
      </c>
      <c r="F6" s="18" t="s">
        <v>41</v>
      </c>
      <c r="G6" s="18" t="s">
        <v>42</v>
      </c>
      <c r="H6" s="20" t="s">
        <v>43</v>
      </c>
    </row>
    <row r="7" customFormat="false" ht="15" hidden="false" customHeight="false" outlineLevel="0" collapsed="false">
      <c r="A7" s="17" t="s">
        <v>44</v>
      </c>
      <c r="B7" s="18" t="s">
        <v>45</v>
      </c>
      <c r="C7" s="19" t="n">
        <v>50</v>
      </c>
      <c r="D7" s="19" t="n">
        <v>1.75</v>
      </c>
      <c r="E7" s="19" t="n">
        <f aca="false">C7-D7</f>
        <v>48.25</v>
      </c>
      <c r="F7" s="18" t="s">
        <v>19</v>
      </c>
      <c r="G7" s="18" t="s">
        <v>46</v>
      </c>
      <c r="H7" s="20"/>
    </row>
    <row r="8" customFormat="false" ht="15" hidden="false" customHeight="false" outlineLevel="0" collapsed="false">
      <c r="A8" s="21"/>
      <c r="B8" s="9"/>
      <c r="C8" s="22"/>
      <c r="D8" s="22"/>
      <c r="E8" s="22" t="str">
        <f aca="false">IF(C8="","",C8-D8)</f>
        <v/>
      </c>
      <c r="F8" s="9"/>
      <c r="G8" s="9"/>
      <c r="H8" s="9"/>
    </row>
    <row r="9" customFormat="false" ht="15" hidden="false" customHeight="false" outlineLevel="0" collapsed="false">
      <c r="A9" s="21"/>
      <c r="B9" s="9"/>
      <c r="C9" s="22"/>
      <c r="D9" s="22"/>
      <c r="E9" s="22" t="str">
        <f aca="false">IF(C9="","",C9-D9)</f>
        <v/>
      </c>
      <c r="F9" s="9"/>
      <c r="G9" s="9"/>
      <c r="H9" s="9"/>
    </row>
    <row r="10" customFormat="false" ht="15" hidden="false" customHeight="false" outlineLevel="0" collapsed="false">
      <c r="A10" s="21"/>
      <c r="B10" s="9"/>
      <c r="C10" s="22"/>
      <c r="D10" s="22"/>
      <c r="E10" s="22" t="str">
        <f aca="false">IF(C10="","",C10-D10)</f>
        <v/>
      </c>
      <c r="F10" s="9"/>
      <c r="G10" s="9"/>
      <c r="H10" s="9"/>
    </row>
    <row r="11" customFormat="false" ht="15" hidden="false" customHeight="false" outlineLevel="0" collapsed="false">
      <c r="A11" s="21"/>
      <c r="B11" s="9"/>
      <c r="C11" s="22"/>
      <c r="D11" s="22"/>
      <c r="E11" s="22" t="str">
        <f aca="false">IF(C11="","",C11-D11)</f>
        <v/>
      </c>
      <c r="F11" s="9"/>
      <c r="G11" s="9"/>
      <c r="H11" s="9"/>
    </row>
    <row r="12" customFormat="false" ht="15" hidden="false" customHeight="false" outlineLevel="0" collapsed="false">
      <c r="A12" s="21"/>
      <c r="B12" s="9"/>
      <c r="C12" s="22"/>
      <c r="D12" s="22"/>
      <c r="E12" s="22" t="str">
        <f aca="false">IF(C12="","",C12-D12)</f>
        <v/>
      </c>
      <c r="F12" s="9"/>
      <c r="G12" s="9"/>
      <c r="H12" s="9"/>
    </row>
    <row r="13" customFormat="false" ht="15" hidden="false" customHeight="false" outlineLevel="0" collapsed="false">
      <c r="A13" s="21"/>
      <c r="B13" s="9"/>
      <c r="C13" s="22"/>
      <c r="D13" s="22"/>
      <c r="E13" s="22" t="str">
        <f aca="false">IF(C13="","",C13-D13)</f>
        <v/>
      </c>
      <c r="F13" s="9"/>
      <c r="G13" s="9"/>
      <c r="H13" s="9"/>
    </row>
    <row r="14" customFormat="false" ht="15" hidden="false" customHeight="false" outlineLevel="0" collapsed="false">
      <c r="A14" s="21"/>
      <c r="B14" s="9"/>
      <c r="C14" s="22"/>
      <c r="D14" s="22"/>
      <c r="E14" s="22" t="str">
        <f aca="false">IF(C14="","",C14-D14)</f>
        <v/>
      </c>
      <c r="F14" s="9"/>
      <c r="G14" s="9"/>
      <c r="H14" s="9"/>
    </row>
    <row r="15" customFormat="false" ht="15" hidden="false" customHeight="false" outlineLevel="0" collapsed="false">
      <c r="A15" s="21"/>
      <c r="B15" s="9"/>
      <c r="C15" s="22"/>
      <c r="D15" s="22"/>
      <c r="E15" s="22" t="str">
        <f aca="false">IF(C15="","",C15-D15)</f>
        <v/>
      </c>
      <c r="F15" s="9"/>
      <c r="G15" s="9"/>
      <c r="H15" s="9"/>
    </row>
    <row r="16" customFormat="false" ht="15" hidden="false" customHeight="false" outlineLevel="0" collapsed="false">
      <c r="A16" s="21"/>
      <c r="B16" s="9"/>
      <c r="C16" s="22"/>
      <c r="D16" s="22"/>
      <c r="E16" s="22" t="str">
        <f aca="false">IF(C16="","",C16-D16)</f>
        <v/>
      </c>
      <c r="F16" s="9"/>
      <c r="G16" s="9"/>
      <c r="H16" s="9"/>
    </row>
    <row r="17" customFormat="false" ht="15" hidden="false" customHeight="false" outlineLevel="0" collapsed="false">
      <c r="A17" s="21"/>
      <c r="B17" s="9"/>
      <c r="C17" s="22"/>
      <c r="D17" s="22"/>
      <c r="E17" s="22" t="str">
        <f aca="false">IF(C17="","",C17-D17)</f>
        <v/>
      </c>
      <c r="F17" s="9"/>
      <c r="G17" s="9"/>
      <c r="H17" s="9"/>
    </row>
    <row r="18" customFormat="false" ht="15" hidden="false" customHeight="false" outlineLevel="0" collapsed="false">
      <c r="A18" s="21"/>
      <c r="B18" s="9"/>
      <c r="C18" s="22"/>
      <c r="D18" s="22"/>
      <c r="E18" s="22" t="str">
        <f aca="false">IF(C18="","",C18-D18)</f>
        <v/>
      </c>
      <c r="F18" s="9"/>
      <c r="G18" s="9"/>
      <c r="H18" s="9"/>
    </row>
    <row r="19" customFormat="false" ht="15" hidden="false" customHeight="false" outlineLevel="0" collapsed="false">
      <c r="A19" s="21"/>
      <c r="B19" s="9"/>
      <c r="C19" s="22"/>
      <c r="D19" s="22"/>
      <c r="E19" s="22" t="str">
        <f aca="false">IF(C19="","",C19-D19)</f>
        <v/>
      </c>
      <c r="F19" s="9"/>
      <c r="G19" s="9"/>
      <c r="H19" s="9"/>
    </row>
    <row r="20" customFormat="false" ht="15" hidden="false" customHeight="false" outlineLevel="0" collapsed="false">
      <c r="A20" s="21"/>
      <c r="B20" s="9"/>
      <c r="C20" s="22"/>
      <c r="D20" s="22"/>
      <c r="E20" s="22" t="str">
        <f aca="false">IF(C20="","",C20-D20)</f>
        <v/>
      </c>
      <c r="F20" s="9"/>
      <c r="G20" s="9"/>
      <c r="H20" s="9"/>
    </row>
    <row r="21" customFormat="false" ht="15" hidden="false" customHeight="false" outlineLevel="0" collapsed="false">
      <c r="A21" s="21"/>
      <c r="B21" s="9"/>
      <c r="C21" s="22"/>
      <c r="D21" s="22"/>
      <c r="E21" s="22" t="str">
        <f aca="false">IF(C21="","",C21-D21)</f>
        <v/>
      </c>
      <c r="F21" s="9"/>
      <c r="G21" s="9"/>
      <c r="H21" s="9"/>
    </row>
    <row r="22" customFormat="false" ht="15" hidden="false" customHeight="false" outlineLevel="0" collapsed="false">
      <c r="A22" s="21"/>
      <c r="B22" s="9"/>
      <c r="C22" s="22"/>
      <c r="D22" s="22"/>
      <c r="E22" s="22" t="str">
        <f aca="false">IF(C22="","",C22-D22)</f>
        <v/>
      </c>
      <c r="F22" s="9"/>
      <c r="G22" s="9"/>
      <c r="H22" s="9"/>
    </row>
    <row r="23" customFormat="false" ht="15" hidden="false" customHeight="false" outlineLevel="0" collapsed="false">
      <c r="A23" s="21"/>
      <c r="B23" s="9"/>
      <c r="C23" s="22"/>
      <c r="D23" s="22"/>
      <c r="E23" s="22" t="str">
        <f aca="false">IF(C23="","",C23-D23)</f>
        <v/>
      </c>
      <c r="F23" s="9"/>
      <c r="G23" s="9"/>
      <c r="H23" s="9"/>
    </row>
    <row r="24" customFormat="false" ht="15" hidden="false" customHeight="false" outlineLevel="0" collapsed="false">
      <c r="A24" s="21"/>
      <c r="B24" s="9"/>
      <c r="C24" s="22"/>
      <c r="D24" s="22"/>
      <c r="E24" s="22" t="str">
        <f aca="false">IF(C24="","",C24-D24)</f>
        <v/>
      </c>
      <c r="F24" s="9"/>
      <c r="G24" s="9"/>
      <c r="H24" s="9"/>
    </row>
    <row r="25" customFormat="false" ht="15" hidden="false" customHeight="false" outlineLevel="0" collapsed="false">
      <c r="A25" s="21"/>
      <c r="B25" s="9"/>
      <c r="C25" s="22"/>
      <c r="D25" s="22"/>
      <c r="E25" s="22" t="str">
        <f aca="false">IF(C25="","",C25-D25)</f>
        <v/>
      </c>
      <c r="F25" s="9"/>
      <c r="G25" s="9"/>
      <c r="H25" s="9"/>
    </row>
    <row r="26" customFormat="false" ht="15" hidden="false" customHeight="false" outlineLevel="0" collapsed="false">
      <c r="A26" s="21"/>
      <c r="B26" s="9"/>
      <c r="C26" s="22"/>
      <c r="D26" s="22"/>
      <c r="E26" s="22" t="str">
        <f aca="false">IF(C26="","",C26-D26)</f>
        <v/>
      </c>
      <c r="F26" s="9"/>
      <c r="G26" s="9"/>
      <c r="H26" s="9"/>
    </row>
    <row r="27" customFormat="false" ht="15" hidden="false" customHeight="false" outlineLevel="0" collapsed="false">
      <c r="A27" s="21"/>
      <c r="B27" s="9"/>
      <c r="C27" s="22"/>
      <c r="D27" s="22"/>
      <c r="E27" s="22" t="str">
        <f aca="false">IF(C27="","",C27-D27)</f>
        <v/>
      </c>
      <c r="F27" s="9"/>
      <c r="G27" s="9"/>
      <c r="H27" s="9"/>
    </row>
    <row r="28" customFormat="false" ht="15" hidden="false" customHeight="false" outlineLevel="0" collapsed="false">
      <c r="A28" s="21"/>
      <c r="B28" s="9"/>
      <c r="C28" s="22"/>
      <c r="D28" s="22"/>
      <c r="E28" s="22" t="str">
        <f aca="false">IF(C28="","",C28-D28)</f>
        <v/>
      </c>
      <c r="F28" s="9"/>
      <c r="G28" s="9"/>
      <c r="H28" s="9"/>
    </row>
    <row r="29" customFormat="false" ht="15" hidden="false" customHeight="false" outlineLevel="0" collapsed="false">
      <c r="A29" s="21"/>
      <c r="B29" s="9"/>
      <c r="C29" s="22"/>
      <c r="D29" s="22"/>
      <c r="E29" s="22" t="str">
        <f aca="false">IF(C29="","",C29-D29)</f>
        <v/>
      </c>
      <c r="F29" s="9"/>
      <c r="G29" s="9"/>
      <c r="H29" s="9"/>
    </row>
    <row r="30" customFormat="false" ht="15" hidden="false" customHeight="false" outlineLevel="0" collapsed="false">
      <c r="A30" s="21"/>
      <c r="B30" s="9"/>
      <c r="C30" s="22"/>
      <c r="D30" s="22"/>
      <c r="E30" s="22" t="str">
        <f aca="false">IF(C30="","",C30-D30)</f>
        <v/>
      </c>
      <c r="F30" s="9"/>
      <c r="G30" s="9"/>
      <c r="H30" s="9"/>
    </row>
    <row r="31" customFormat="false" ht="15" hidden="false" customHeight="false" outlineLevel="0" collapsed="false">
      <c r="A31" s="21"/>
      <c r="B31" s="9"/>
      <c r="C31" s="22"/>
      <c r="D31" s="22"/>
      <c r="E31" s="22" t="str">
        <f aca="false">IF(C31="","",C31-D31)</f>
        <v/>
      </c>
      <c r="F31" s="9"/>
      <c r="G31" s="9"/>
      <c r="H31" s="9"/>
    </row>
    <row r="32" customFormat="false" ht="15" hidden="false" customHeight="false" outlineLevel="0" collapsed="false">
      <c r="A32" s="21"/>
      <c r="B32" s="9"/>
      <c r="C32" s="22"/>
      <c r="D32" s="22"/>
      <c r="E32" s="22" t="str">
        <f aca="false">IF(C32="","",C32-D32)</f>
        <v/>
      </c>
      <c r="F32" s="9"/>
      <c r="G32" s="9"/>
      <c r="H32" s="9"/>
    </row>
    <row r="33" customFormat="false" ht="15" hidden="false" customHeight="false" outlineLevel="0" collapsed="false">
      <c r="A33" s="21"/>
      <c r="B33" s="9"/>
      <c r="C33" s="22"/>
      <c r="D33" s="22"/>
      <c r="E33" s="22" t="str">
        <f aca="false">IF(C33="","",C33-D33)</f>
        <v/>
      </c>
      <c r="F33" s="9"/>
      <c r="G33" s="9"/>
      <c r="H33" s="9"/>
    </row>
    <row r="34" customFormat="false" ht="15" hidden="false" customHeight="false" outlineLevel="0" collapsed="false">
      <c r="A34" s="21"/>
      <c r="B34" s="9"/>
      <c r="C34" s="22"/>
      <c r="D34" s="22"/>
      <c r="E34" s="22" t="str">
        <f aca="false">IF(C34="","",C34-D34)</f>
        <v/>
      </c>
      <c r="F34" s="9"/>
      <c r="G34" s="9"/>
      <c r="H34" s="9"/>
    </row>
    <row r="35" customFormat="false" ht="15" hidden="false" customHeight="false" outlineLevel="0" collapsed="false">
      <c r="A35" s="21"/>
      <c r="B35" s="9"/>
      <c r="C35" s="22"/>
      <c r="D35" s="22"/>
      <c r="E35" s="22" t="str">
        <f aca="false">IF(C35="","",C35-D35)</f>
        <v/>
      </c>
      <c r="F35" s="9"/>
      <c r="G35" s="9"/>
      <c r="H35" s="9"/>
    </row>
    <row r="36" customFormat="false" ht="15" hidden="false" customHeight="false" outlineLevel="0" collapsed="false">
      <c r="A36" s="21"/>
      <c r="B36" s="9"/>
      <c r="C36" s="22"/>
      <c r="D36" s="22"/>
      <c r="E36" s="22" t="str">
        <f aca="false">IF(C36="","",C36-D36)</f>
        <v/>
      </c>
      <c r="F36" s="9"/>
      <c r="G36" s="9"/>
      <c r="H36" s="9"/>
    </row>
    <row r="37" customFormat="false" ht="15" hidden="false" customHeight="false" outlineLevel="0" collapsed="false">
      <c r="A37" s="21"/>
      <c r="B37" s="9"/>
      <c r="C37" s="22"/>
      <c r="D37" s="22"/>
      <c r="E37" s="22" t="str">
        <f aca="false">IF(C37="","",C37-D37)</f>
        <v/>
      </c>
      <c r="F37" s="9"/>
      <c r="G37" s="9"/>
      <c r="H37" s="9"/>
    </row>
    <row r="38" customFormat="false" ht="15" hidden="false" customHeight="false" outlineLevel="0" collapsed="false">
      <c r="A38" s="21"/>
      <c r="B38" s="9"/>
      <c r="C38" s="22"/>
      <c r="D38" s="22"/>
      <c r="E38" s="22" t="str">
        <f aca="false">IF(C38="","",C38-D38)</f>
        <v/>
      </c>
      <c r="F38" s="9"/>
      <c r="G38" s="9"/>
      <c r="H38" s="9"/>
    </row>
    <row r="39" customFormat="false" ht="15" hidden="false" customHeight="false" outlineLevel="0" collapsed="false">
      <c r="A39" s="21"/>
      <c r="B39" s="9"/>
      <c r="C39" s="22"/>
      <c r="D39" s="22"/>
      <c r="E39" s="22" t="str">
        <f aca="false">IF(C39="","",C39-D39)</f>
        <v/>
      </c>
      <c r="F39" s="9"/>
      <c r="G39" s="9"/>
      <c r="H39" s="9"/>
    </row>
    <row r="40" customFormat="false" ht="15" hidden="false" customHeight="false" outlineLevel="0" collapsed="false">
      <c r="A40" s="21"/>
      <c r="B40" s="9"/>
      <c r="C40" s="22"/>
      <c r="D40" s="22"/>
      <c r="E40" s="22" t="str">
        <f aca="false">IF(C40="","",C40-D40)</f>
        <v/>
      </c>
      <c r="F40" s="9"/>
      <c r="G40" s="9"/>
      <c r="H40" s="9"/>
    </row>
    <row r="41" customFormat="false" ht="15" hidden="false" customHeight="false" outlineLevel="0" collapsed="false">
      <c r="A41" s="21"/>
      <c r="B41" s="9"/>
      <c r="C41" s="22"/>
      <c r="D41" s="22"/>
      <c r="E41" s="22" t="str">
        <f aca="false">IF(C41="","",C41-D41)</f>
        <v/>
      </c>
      <c r="F41" s="9"/>
      <c r="G41" s="9"/>
      <c r="H41" s="9"/>
    </row>
    <row r="42" customFormat="false" ht="15" hidden="false" customHeight="false" outlineLevel="0" collapsed="false">
      <c r="A42" s="21"/>
      <c r="B42" s="9"/>
      <c r="C42" s="22"/>
      <c r="D42" s="22"/>
      <c r="E42" s="22" t="str">
        <f aca="false">IF(C42="","",C42-D42)</f>
        <v/>
      </c>
      <c r="F42" s="9"/>
      <c r="G42" s="9"/>
      <c r="H42" s="9"/>
    </row>
    <row r="43" customFormat="false" ht="15" hidden="false" customHeight="false" outlineLevel="0" collapsed="false">
      <c r="A43" s="21"/>
      <c r="B43" s="9"/>
      <c r="C43" s="22"/>
      <c r="D43" s="22"/>
      <c r="E43" s="22" t="str">
        <f aca="false">IF(C43="","",C43-D43)</f>
        <v/>
      </c>
      <c r="F43" s="9"/>
      <c r="G43" s="9"/>
      <c r="H43" s="9"/>
    </row>
    <row r="44" customFormat="false" ht="15" hidden="false" customHeight="false" outlineLevel="0" collapsed="false">
      <c r="A44" s="21"/>
      <c r="B44" s="9"/>
      <c r="C44" s="22"/>
      <c r="D44" s="22"/>
      <c r="E44" s="22" t="str">
        <f aca="false">IF(C44="","",C44-D44)</f>
        <v/>
      </c>
      <c r="F44" s="9"/>
      <c r="G44" s="9"/>
      <c r="H44" s="9"/>
    </row>
    <row r="45" customFormat="false" ht="15" hidden="false" customHeight="false" outlineLevel="0" collapsed="false">
      <c r="A45" s="21"/>
      <c r="B45" s="9"/>
      <c r="C45" s="22"/>
      <c r="D45" s="22"/>
      <c r="E45" s="22" t="str">
        <f aca="false">IF(C45="","",C45-D45)</f>
        <v/>
      </c>
      <c r="F45" s="9"/>
      <c r="G45" s="9"/>
      <c r="H45" s="9"/>
    </row>
    <row r="46" customFormat="false" ht="15" hidden="false" customHeight="false" outlineLevel="0" collapsed="false">
      <c r="A46" s="21"/>
      <c r="B46" s="9"/>
      <c r="C46" s="22"/>
      <c r="D46" s="22"/>
      <c r="E46" s="22" t="str">
        <f aca="false">IF(C46="","",C46-D46)</f>
        <v/>
      </c>
      <c r="F46" s="9"/>
      <c r="G46" s="9"/>
      <c r="H46" s="9"/>
    </row>
    <row r="47" customFormat="false" ht="15" hidden="false" customHeight="false" outlineLevel="0" collapsed="false">
      <c r="A47" s="21"/>
      <c r="B47" s="9"/>
      <c r="C47" s="22"/>
      <c r="D47" s="22"/>
      <c r="E47" s="22" t="str">
        <f aca="false">IF(C47="","",C47-D47)</f>
        <v/>
      </c>
      <c r="F47" s="9"/>
      <c r="G47" s="9"/>
      <c r="H47" s="9"/>
    </row>
  </sheetData>
  <dataValidations count="2">
    <dataValidation allowBlank="true" errorStyle="stop" operator="between" showDropDown="false" showErrorMessage="false" showInputMessage="false" sqref="F5:F48" type="list">
      <formula1>"Unrestricted,Restricted-Testing"</formula1>
      <formula2>0</formula2>
    </dataValidation>
    <dataValidation allowBlank="true" errorStyle="stop" operator="between" showDropDown="false" showErrorMessage="false" showInputMessage="false" sqref="G5:G48" type="list">
      <formula1>"Givebutter,Donorbox,Check,Cash,Other"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28"/>
  </cols>
  <sheetData>
    <row r="1" customFormat="false" ht="19.7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8" t="s">
        <v>28</v>
      </c>
      <c r="B4" s="8" t="s">
        <v>49</v>
      </c>
      <c r="C4" s="8" t="s">
        <v>9</v>
      </c>
      <c r="D4" s="8" t="s">
        <v>50</v>
      </c>
      <c r="E4" s="8" t="s">
        <v>51</v>
      </c>
      <c r="F4" s="8" t="s">
        <v>52</v>
      </c>
      <c r="G4" s="8" t="s">
        <v>34</v>
      </c>
    </row>
    <row r="5" customFormat="false" ht="15" hidden="false" customHeight="false" outlineLevel="0" collapsed="false">
      <c r="A5" s="17" t="s">
        <v>53</v>
      </c>
      <c r="B5" s="20" t="s">
        <v>54</v>
      </c>
      <c r="C5" s="18" t="s">
        <v>55</v>
      </c>
      <c r="D5" s="19" t="n">
        <v>625</v>
      </c>
      <c r="E5" s="18" t="s">
        <v>56</v>
      </c>
      <c r="F5" s="18" t="s">
        <v>57</v>
      </c>
      <c r="G5" s="20" t="s">
        <v>58</v>
      </c>
    </row>
    <row r="6" customFormat="false" ht="15" hidden="false" customHeight="false" outlineLevel="0" collapsed="false">
      <c r="A6" s="17" t="s">
        <v>59</v>
      </c>
      <c r="B6" s="20" t="s">
        <v>60</v>
      </c>
      <c r="C6" s="18" t="s">
        <v>61</v>
      </c>
      <c r="D6" s="19" t="n">
        <v>480</v>
      </c>
      <c r="E6" s="18" t="s">
        <v>62</v>
      </c>
      <c r="F6" s="18" t="s">
        <v>63</v>
      </c>
      <c r="G6" s="20" t="s">
        <v>64</v>
      </c>
    </row>
    <row r="7" customFormat="false" ht="15" hidden="false" customHeight="false" outlineLevel="0" collapsed="false">
      <c r="A7" s="17" t="s">
        <v>59</v>
      </c>
      <c r="B7" s="20" t="s">
        <v>65</v>
      </c>
      <c r="C7" s="18" t="s">
        <v>66</v>
      </c>
      <c r="D7" s="19" t="n">
        <v>0</v>
      </c>
      <c r="E7" s="18" t="s">
        <v>67</v>
      </c>
      <c r="F7" s="18"/>
      <c r="G7" s="20"/>
    </row>
    <row r="8" customFormat="false" ht="15" hidden="false" customHeight="false" outlineLevel="0" collapsed="false">
      <c r="A8" s="17" t="s">
        <v>68</v>
      </c>
      <c r="B8" s="20" t="s">
        <v>69</v>
      </c>
      <c r="C8" s="18" t="s">
        <v>66</v>
      </c>
      <c r="D8" s="19" t="n">
        <v>50</v>
      </c>
      <c r="E8" s="18" t="s">
        <v>62</v>
      </c>
      <c r="F8" s="18"/>
      <c r="G8" s="20"/>
    </row>
    <row r="9" customFormat="false" ht="15" hidden="false" customHeight="false" outlineLevel="0" collapsed="false">
      <c r="A9" s="21"/>
      <c r="B9" s="9"/>
      <c r="C9" s="9"/>
      <c r="D9" s="22"/>
      <c r="E9" s="9"/>
      <c r="F9" s="9"/>
      <c r="G9" s="9"/>
    </row>
    <row r="10" customFormat="false" ht="15" hidden="false" customHeight="false" outlineLevel="0" collapsed="false">
      <c r="A10" s="21"/>
      <c r="B10" s="9"/>
      <c r="C10" s="9"/>
      <c r="D10" s="22"/>
      <c r="E10" s="9"/>
      <c r="F10" s="9"/>
      <c r="G10" s="9"/>
    </row>
    <row r="11" customFormat="false" ht="15" hidden="false" customHeight="false" outlineLevel="0" collapsed="false">
      <c r="A11" s="21"/>
      <c r="B11" s="9"/>
      <c r="C11" s="9"/>
      <c r="D11" s="22"/>
      <c r="E11" s="9"/>
      <c r="F11" s="9"/>
      <c r="G11" s="9"/>
    </row>
    <row r="12" customFormat="false" ht="15" hidden="false" customHeight="false" outlineLevel="0" collapsed="false">
      <c r="A12" s="21"/>
      <c r="B12" s="9"/>
      <c r="C12" s="9"/>
      <c r="D12" s="22"/>
      <c r="E12" s="9"/>
      <c r="F12" s="9"/>
      <c r="G12" s="9"/>
    </row>
    <row r="13" customFormat="false" ht="15" hidden="false" customHeight="false" outlineLevel="0" collapsed="false">
      <c r="A13" s="21"/>
      <c r="B13" s="9"/>
      <c r="C13" s="9"/>
      <c r="D13" s="22"/>
      <c r="E13" s="9"/>
      <c r="F13" s="9"/>
      <c r="G13" s="9"/>
    </row>
    <row r="14" customFormat="false" ht="15" hidden="false" customHeight="false" outlineLevel="0" collapsed="false">
      <c r="A14" s="21"/>
      <c r="B14" s="9"/>
      <c r="C14" s="9"/>
      <c r="D14" s="22"/>
      <c r="E14" s="9"/>
      <c r="F14" s="9"/>
      <c r="G14" s="9"/>
    </row>
    <row r="15" customFormat="false" ht="15" hidden="false" customHeight="false" outlineLevel="0" collapsed="false">
      <c r="A15" s="21"/>
      <c r="B15" s="9"/>
      <c r="C15" s="9"/>
      <c r="D15" s="22"/>
      <c r="E15" s="9"/>
      <c r="F15" s="9"/>
      <c r="G15" s="9"/>
    </row>
    <row r="16" customFormat="false" ht="15" hidden="false" customHeight="false" outlineLevel="0" collapsed="false">
      <c r="A16" s="21"/>
      <c r="B16" s="9"/>
      <c r="C16" s="9"/>
      <c r="D16" s="22"/>
      <c r="E16" s="9"/>
      <c r="F16" s="9"/>
      <c r="G16" s="9"/>
    </row>
    <row r="17" customFormat="false" ht="15" hidden="false" customHeight="false" outlineLevel="0" collapsed="false">
      <c r="A17" s="21"/>
      <c r="B17" s="9"/>
      <c r="C17" s="9"/>
      <c r="D17" s="22"/>
      <c r="E17" s="9"/>
      <c r="F17" s="9"/>
      <c r="G17" s="9"/>
    </row>
    <row r="18" customFormat="false" ht="15" hidden="false" customHeight="false" outlineLevel="0" collapsed="false">
      <c r="A18" s="21"/>
      <c r="B18" s="9"/>
      <c r="C18" s="9"/>
      <c r="D18" s="22"/>
      <c r="E18" s="9"/>
      <c r="F18" s="9"/>
      <c r="G18" s="9"/>
    </row>
    <row r="19" customFormat="false" ht="15" hidden="false" customHeight="false" outlineLevel="0" collapsed="false">
      <c r="A19" s="21"/>
      <c r="B19" s="9"/>
      <c r="C19" s="9"/>
      <c r="D19" s="22"/>
      <c r="E19" s="9"/>
      <c r="F19" s="9"/>
      <c r="G19" s="9"/>
    </row>
    <row r="20" customFormat="false" ht="15" hidden="false" customHeight="false" outlineLevel="0" collapsed="false">
      <c r="A20" s="21"/>
      <c r="B20" s="9"/>
      <c r="C20" s="9"/>
      <c r="D20" s="22"/>
      <c r="E20" s="9"/>
      <c r="F20" s="9"/>
      <c r="G20" s="9"/>
    </row>
    <row r="21" customFormat="false" ht="15" hidden="false" customHeight="false" outlineLevel="0" collapsed="false">
      <c r="A21" s="21"/>
      <c r="B21" s="9"/>
      <c r="C21" s="9"/>
      <c r="D21" s="22"/>
      <c r="E21" s="9"/>
      <c r="F21" s="9"/>
      <c r="G21" s="9"/>
    </row>
    <row r="22" customFormat="false" ht="15" hidden="false" customHeight="false" outlineLevel="0" collapsed="false">
      <c r="A22" s="21"/>
      <c r="B22" s="9"/>
      <c r="C22" s="9"/>
      <c r="D22" s="22"/>
      <c r="E22" s="9"/>
      <c r="F22" s="9"/>
      <c r="G22" s="9"/>
    </row>
    <row r="23" customFormat="false" ht="15" hidden="false" customHeight="false" outlineLevel="0" collapsed="false">
      <c r="A23" s="21"/>
      <c r="B23" s="9"/>
      <c r="C23" s="9"/>
      <c r="D23" s="22"/>
      <c r="E23" s="9"/>
      <c r="F23" s="9"/>
      <c r="G23" s="9"/>
    </row>
    <row r="24" customFormat="false" ht="15" hidden="false" customHeight="false" outlineLevel="0" collapsed="false">
      <c r="A24" s="21"/>
      <c r="B24" s="9"/>
      <c r="C24" s="9"/>
      <c r="D24" s="22"/>
      <c r="E24" s="9"/>
      <c r="F24" s="9"/>
      <c r="G24" s="9"/>
    </row>
    <row r="25" customFormat="false" ht="15" hidden="false" customHeight="false" outlineLevel="0" collapsed="false">
      <c r="A25" s="21"/>
      <c r="B25" s="9"/>
      <c r="C25" s="9"/>
      <c r="D25" s="22"/>
      <c r="E25" s="9"/>
      <c r="F25" s="9"/>
      <c r="G25" s="9"/>
    </row>
    <row r="26" customFormat="false" ht="15" hidden="false" customHeight="false" outlineLevel="0" collapsed="false">
      <c r="A26" s="21"/>
      <c r="B26" s="9"/>
      <c r="C26" s="9"/>
      <c r="D26" s="22"/>
      <c r="E26" s="9"/>
      <c r="F26" s="9"/>
      <c r="G26" s="9"/>
    </row>
    <row r="27" customFormat="false" ht="15" hidden="false" customHeight="false" outlineLevel="0" collapsed="false">
      <c r="A27" s="21"/>
      <c r="B27" s="9"/>
      <c r="C27" s="9"/>
      <c r="D27" s="22"/>
      <c r="E27" s="9"/>
      <c r="F27" s="9"/>
      <c r="G27" s="9"/>
    </row>
    <row r="28" customFormat="false" ht="15" hidden="false" customHeight="false" outlineLevel="0" collapsed="false">
      <c r="A28" s="21"/>
      <c r="B28" s="9"/>
      <c r="C28" s="9"/>
      <c r="D28" s="22"/>
      <c r="E28" s="9"/>
      <c r="F28" s="9"/>
      <c r="G28" s="9"/>
    </row>
    <row r="29" customFormat="false" ht="15" hidden="false" customHeight="false" outlineLevel="0" collapsed="false">
      <c r="A29" s="21"/>
      <c r="B29" s="9"/>
      <c r="C29" s="9"/>
      <c r="D29" s="22"/>
      <c r="E29" s="9"/>
      <c r="F29" s="9"/>
      <c r="G29" s="9"/>
    </row>
    <row r="30" customFormat="false" ht="15" hidden="false" customHeight="false" outlineLevel="0" collapsed="false">
      <c r="A30" s="21"/>
      <c r="B30" s="9"/>
      <c r="C30" s="9"/>
      <c r="D30" s="22"/>
      <c r="E30" s="9"/>
      <c r="F30" s="9"/>
      <c r="G30" s="9"/>
    </row>
    <row r="31" customFormat="false" ht="15" hidden="false" customHeight="false" outlineLevel="0" collapsed="false">
      <c r="A31" s="21"/>
      <c r="B31" s="9"/>
      <c r="C31" s="9"/>
      <c r="D31" s="22"/>
      <c r="E31" s="9"/>
      <c r="F31" s="9"/>
      <c r="G31" s="9"/>
    </row>
    <row r="32" customFormat="false" ht="15" hidden="false" customHeight="false" outlineLevel="0" collapsed="false">
      <c r="A32" s="21"/>
      <c r="B32" s="9"/>
      <c r="C32" s="9"/>
      <c r="D32" s="22"/>
      <c r="E32" s="9"/>
      <c r="F32" s="9"/>
      <c r="G32" s="9"/>
    </row>
    <row r="33" customFormat="false" ht="15" hidden="false" customHeight="false" outlineLevel="0" collapsed="false">
      <c r="A33" s="21"/>
      <c r="B33" s="9"/>
      <c r="C33" s="9"/>
      <c r="D33" s="22"/>
      <c r="E33" s="9"/>
      <c r="F33" s="9"/>
      <c r="G33" s="9"/>
    </row>
    <row r="34" customFormat="false" ht="15" hidden="false" customHeight="false" outlineLevel="0" collapsed="false">
      <c r="A34" s="21"/>
      <c r="B34" s="9"/>
      <c r="C34" s="9"/>
      <c r="D34" s="22"/>
      <c r="E34" s="9"/>
      <c r="F34" s="9"/>
      <c r="G34" s="9"/>
    </row>
    <row r="35" customFormat="false" ht="15" hidden="false" customHeight="false" outlineLevel="0" collapsed="false">
      <c r="A35" s="21"/>
      <c r="B35" s="9"/>
      <c r="C35" s="9"/>
      <c r="D35" s="22"/>
      <c r="E35" s="9"/>
      <c r="F35" s="9"/>
      <c r="G35" s="9"/>
    </row>
    <row r="36" customFormat="false" ht="15" hidden="false" customHeight="false" outlineLevel="0" collapsed="false">
      <c r="A36" s="21"/>
      <c r="B36" s="9"/>
      <c r="C36" s="9"/>
      <c r="D36" s="22"/>
      <c r="E36" s="9"/>
      <c r="F36" s="9"/>
      <c r="G36" s="9"/>
    </row>
    <row r="37" customFormat="false" ht="15" hidden="false" customHeight="false" outlineLevel="0" collapsed="false">
      <c r="A37" s="21"/>
      <c r="B37" s="9"/>
      <c r="C37" s="9"/>
      <c r="D37" s="22"/>
      <c r="E37" s="9"/>
      <c r="F37" s="9"/>
      <c r="G37" s="9"/>
    </row>
    <row r="38" customFormat="false" ht="15" hidden="false" customHeight="false" outlineLevel="0" collapsed="false">
      <c r="A38" s="21"/>
      <c r="B38" s="9"/>
      <c r="C38" s="9"/>
      <c r="D38" s="22"/>
      <c r="E38" s="9"/>
      <c r="F38" s="9"/>
      <c r="G38" s="9"/>
    </row>
    <row r="39" customFormat="false" ht="15" hidden="false" customHeight="false" outlineLevel="0" collapsed="false">
      <c r="A39" s="21"/>
      <c r="B39" s="9"/>
      <c r="C39" s="9"/>
      <c r="D39" s="22"/>
      <c r="E39" s="9"/>
      <c r="F39" s="9"/>
      <c r="G39" s="9"/>
    </row>
    <row r="40" customFormat="false" ht="15" hidden="false" customHeight="false" outlineLevel="0" collapsed="false">
      <c r="A40" s="21"/>
      <c r="B40" s="9"/>
      <c r="C40" s="9"/>
      <c r="D40" s="22"/>
      <c r="E40" s="9"/>
      <c r="F40" s="9"/>
      <c r="G40" s="9"/>
    </row>
    <row r="41" customFormat="false" ht="15" hidden="false" customHeight="false" outlineLevel="0" collapsed="false">
      <c r="A41" s="21"/>
      <c r="B41" s="9"/>
      <c r="C41" s="9"/>
      <c r="D41" s="22"/>
      <c r="E41" s="9"/>
      <c r="F41" s="9"/>
      <c r="G41" s="9"/>
    </row>
    <row r="42" customFormat="false" ht="15" hidden="false" customHeight="false" outlineLevel="0" collapsed="false">
      <c r="A42" s="21"/>
      <c r="B42" s="9"/>
      <c r="C42" s="9"/>
      <c r="D42" s="22"/>
      <c r="E42" s="9"/>
      <c r="F42" s="9"/>
      <c r="G42" s="9"/>
    </row>
    <row r="43" customFormat="false" ht="15" hidden="false" customHeight="false" outlineLevel="0" collapsed="false">
      <c r="A43" s="21"/>
      <c r="B43" s="9"/>
      <c r="C43" s="9"/>
      <c r="D43" s="22"/>
      <c r="E43" s="9"/>
      <c r="F43" s="9"/>
      <c r="G43" s="9"/>
    </row>
    <row r="44" customFormat="false" ht="15" hidden="false" customHeight="false" outlineLevel="0" collapsed="false">
      <c r="A44" s="21"/>
      <c r="B44" s="9"/>
      <c r="C44" s="9"/>
      <c r="D44" s="22"/>
      <c r="E44" s="9"/>
      <c r="F44" s="9"/>
      <c r="G44" s="9"/>
    </row>
    <row r="45" customFormat="false" ht="15" hidden="false" customHeight="false" outlineLevel="0" collapsed="false">
      <c r="A45" s="21"/>
      <c r="B45" s="9"/>
      <c r="C45" s="9"/>
      <c r="D45" s="22"/>
      <c r="E45" s="9"/>
      <c r="F45" s="9"/>
      <c r="G45" s="9"/>
    </row>
    <row r="46" customFormat="false" ht="15" hidden="false" customHeight="false" outlineLevel="0" collapsed="false">
      <c r="A46" s="21"/>
      <c r="B46" s="9"/>
      <c r="C46" s="9"/>
      <c r="D46" s="22"/>
      <c r="E46" s="9"/>
      <c r="F46" s="9"/>
      <c r="G46" s="9"/>
    </row>
    <row r="47" customFormat="false" ht="15" hidden="false" customHeight="false" outlineLevel="0" collapsed="false">
      <c r="A47" s="21"/>
      <c r="B47" s="9"/>
      <c r="C47" s="9"/>
      <c r="D47" s="22"/>
      <c r="E47" s="9"/>
      <c r="F47" s="9"/>
      <c r="G47" s="9"/>
    </row>
    <row r="48" customFormat="false" ht="15" hidden="false" customHeight="false" outlineLevel="0" collapsed="false">
      <c r="A48" s="21"/>
      <c r="B48" s="9"/>
      <c r="C48" s="9"/>
      <c r="D48" s="22"/>
      <c r="E48" s="9"/>
      <c r="F48" s="9"/>
      <c r="G48" s="9"/>
    </row>
  </sheetData>
  <dataValidations count="1">
    <dataValidation allowBlank="true" errorStyle="stop" operator="between" showDropDown="false" showErrorMessage="false" showInputMessage="false" sqref="C5:C49" type="list">
      <formula1>"Operations,Testing,Admin"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8" t="s">
        <v>28</v>
      </c>
      <c r="B4" s="8" t="s">
        <v>72</v>
      </c>
      <c r="C4" s="8" t="s">
        <v>73</v>
      </c>
      <c r="D4" s="8" t="s">
        <v>74</v>
      </c>
      <c r="E4" s="8" t="s">
        <v>75</v>
      </c>
      <c r="F4" s="8" t="s">
        <v>76</v>
      </c>
      <c r="G4" s="8" t="s">
        <v>77</v>
      </c>
      <c r="H4" s="8" t="s">
        <v>78</v>
      </c>
    </row>
    <row r="5" customFormat="false" ht="15" hidden="false" customHeight="false" outlineLevel="0" collapsed="false">
      <c r="A5" s="17" t="s">
        <v>79</v>
      </c>
      <c r="B5" s="18" t="s">
        <v>80</v>
      </c>
      <c r="C5" s="20" t="s">
        <v>81</v>
      </c>
      <c r="D5" s="18" t="s">
        <v>82</v>
      </c>
      <c r="E5" s="23" t="n">
        <v>6.5</v>
      </c>
      <c r="F5" s="19" t="n">
        <v>50</v>
      </c>
      <c r="G5" s="19" t="n">
        <f aca="false">E5*F5</f>
        <v>325</v>
      </c>
      <c r="H5" s="18" t="s">
        <v>83</v>
      </c>
    </row>
    <row r="6" customFormat="false" ht="15" hidden="false" customHeight="false" outlineLevel="0" collapsed="false">
      <c r="A6" s="17" t="s">
        <v>84</v>
      </c>
      <c r="B6" s="18" t="s">
        <v>80</v>
      </c>
      <c r="C6" s="20" t="s">
        <v>85</v>
      </c>
      <c r="D6" s="18" t="s">
        <v>86</v>
      </c>
      <c r="E6" s="23" t="n">
        <v>6</v>
      </c>
      <c r="F6" s="19" t="n">
        <v>50</v>
      </c>
      <c r="G6" s="19" t="n">
        <f aca="false">E6*F6</f>
        <v>300</v>
      </c>
      <c r="H6" s="18" t="s">
        <v>83</v>
      </c>
    </row>
    <row r="7" customFormat="false" ht="15" hidden="false" customHeight="false" outlineLevel="0" collapsed="false">
      <c r="A7" s="17" t="s">
        <v>87</v>
      </c>
      <c r="B7" s="18" t="s">
        <v>88</v>
      </c>
      <c r="C7" s="20" t="s">
        <v>89</v>
      </c>
      <c r="D7" s="18" t="s">
        <v>90</v>
      </c>
      <c r="E7" s="23" t="n">
        <v>4</v>
      </c>
      <c r="F7" s="19" t="n">
        <v>0</v>
      </c>
      <c r="G7" s="19" t="n">
        <f aca="false">E7*F7</f>
        <v>0</v>
      </c>
      <c r="H7" s="18" t="s">
        <v>83</v>
      </c>
    </row>
    <row r="8" customFormat="false" ht="15" hidden="false" customHeight="false" outlineLevel="0" collapsed="false">
      <c r="A8" s="21"/>
      <c r="B8" s="9"/>
      <c r="C8" s="9"/>
      <c r="D8" s="9"/>
      <c r="E8" s="24"/>
      <c r="F8" s="22"/>
      <c r="G8" s="22" t="str">
        <f aca="false">IF(E8="","",E8*F8)</f>
        <v/>
      </c>
      <c r="H8" s="9"/>
    </row>
    <row r="9" customFormat="false" ht="15" hidden="false" customHeight="false" outlineLevel="0" collapsed="false">
      <c r="A9" s="21"/>
      <c r="B9" s="9"/>
      <c r="C9" s="9"/>
      <c r="D9" s="9"/>
      <c r="E9" s="24"/>
      <c r="F9" s="22"/>
      <c r="G9" s="22" t="str">
        <f aca="false">IF(E9="","",E9*F9)</f>
        <v/>
      </c>
      <c r="H9" s="9"/>
    </row>
    <row r="10" customFormat="false" ht="15" hidden="false" customHeight="false" outlineLevel="0" collapsed="false">
      <c r="A10" s="21"/>
      <c r="B10" s="9"/>
      <c r="C10" s="9"/>
      <c r="D10" s="9"/>
      <c r="E10" s="24"/>
      <c r="F10" s="22"/>
      <c r="G10" s="22" t="str">
        <f aca="false">IF(E10="","",E10*F10)</f>
        <v/>
      </c>
      <c r="H10" s="9"/>
    </row>
    <row r="11" customFormat="false" ht="15" hidden="false" customHeight="false" outlineLevel="0" collapsed="false">
      <c r="A11" s="21"/>
      <c r="B11" s="9"/>
      <c r="C11" s="9"/>
      <c r="D11" s="9"/>
      <c r="E11" s="24"/>
      <c r="F11" s="22"/>
      <c r="G11" s="22" t="str">
        <f aca="false">IF(E11="","",E11*F11)</f>
        <v/>
      </c>
      <c r="H11" s="9"/>
    </row>
    <row r="12" customFormat="false" ht="15" hidden="false" customHeight="false" outlineLevel="0" collapsed="false">
      <c r="A12" s="21"/>
      <c r="B12" s="9"/>
      <c r="C12" s="9"/>
      <c r="D12" s="9"/>
      <c r="E12" s="24"/>
      <c r="F12" s="22"/>
      <c r="G12" s="22" t="str">
        <f aca="false">IF(E12="","",E12*F12)</f>
        <v/>
      </c>
      <c r="H12" s="9"/>
    </row>
    <row r="13" customFormat="false" ht="15" hidden="false" customHeight="false" outlineLevel="0" collapsed="false">
      <c r="A13" s="21"/>
      <c r="B13" s="9"/>
      <c r="C13" s="9"/>
      <c r="D13" s="9"/>
      <c r="E13" s="24"/>
      <c r="F13" s="22"/>
      <c r="G13" s="22" t="str">
        <f aca="false">IF(E13="","",E13*F13)</f>
        <v/>
      </c>
      <c r="H13" s="9"/>
    </row>
    <row r="14" customFormat="false" ht="15" hidden="false" customHeight="false" outlineLevel="0" collapsed="false">
      <c r="A14" s="21"/>
      <c r="B14" s="9"/>
      <c r="C14" s="9"/>
      <c r="D14" s="9"/>
      <c r="E14" s="24"/>
      <c r="F14" s="22"/>
      <c r="G14" s="22" t="str">
        <f aca="false">IF(E14="","",E14*F14)</f>
        <v/>
      </c>
      <c r="H14" s="9"/>
    </row>
    <row r="15" customFormat="false" ht="15" hidden="false" customHeight="false" outlineLevel="0" collapsed="false">
      <c r="A15" s="21"/>
      <c r="B15" s="9"/>
      <c r="C15" s="9"/>
      <c r="D15" s="9"/>
      <c r="E15" s="24"/>
      <c r="F15" s="22"/>
      <c r="G15" s="22" t="str">
        <f aca="false">IF(E15="","",E15*F15)</f>
        <v/>
      </c>
      <c r="H15" s="9"/>
    </row>
    <row r="16" customFormat="false" ht="15" hidden="false" customHeight="false" outlineLevel="0" collapsed="false">
      <c r="A16" s="21"/>
      <c r="B16" s="9"/>
      <c r="C16" s="9"/>
      <c r="D16" s="9"/>
      <c r="E16" s="24"/>
      <c r="F16" s="22"/>
      <c r="G16" s="22" t="str">
        <f aca="false">IF(E16="","",E16*F16)</f>
        <v/>
      </c>
      <c r="H16" s="9"/>
    </row>
    <row r="17" customFormat="false" ht="15" hidden="false" customHeight="false" outlineLevel="0" collapsed="false">
      <c r="A17" s="21"/>
      <c r="B17" s="9"/>
      <c r="C17" s="9"/>
      <c r="D17" s="9"/>
      <c r="E17" s="24"/>
      <c r="F17" s="22"/>
      <c r="G17" s="22" t="str">
        <f aca="false">IF(E17="","",E17*F17)</f>
        <v/>
      </c>
      <c r="H17" s="9"/>
    </row>
    <row r="18" customFormat="false" ht="15" hidden="false" customHeight="false" outlineLevel="0" collapsed="false">
      <c r="A18" s="21"/>
      <c r="B18" s="9"/>
      <c r="C18" s="9"/>
      <c r="D18" s="9"/>
      <c r="E18" s="24"/>
      <c r="F18" s="22"/>
      <c r="G18" s="22" t="str">
        <f aca="false">IF(E18="","",E18*F18)</f>
        <v/>
      </c>
      <c r="H18" s="9"/>
    </row>
    <row r="19" customFormat="false" ht="15" hidden="false" customHeight="false" outlineLevel="0" collapsed="false">
      <c r="A19" s="21"/>
      <c r="B19" s="9"/>
      <c r="C19" s="9"/>
      <c r="D19" s="9"/>
      <c r="E19" s="24"/>
      <c r="F19" s="22"/>
      <c r="G19" s="22" t="str">
        <f aca="false">IF(E19="","",E19*F19)</f>
        <v/>
      </c>
      <c r="H19" s="9"/>
    </row>
    <row r="20" customFormat="false" ht="15" hidden="false" customHeight="false" outlineLevel="0" collapsed="false">
      <c r="A20" s="21"/>
      <c r="B20" s="9"/>
      <c r="C20" s="9"/>
      <c r="D20" s="9"/>
      <c r="E20" s="24"/>
      <c r="F20" s="22"/>
      <c r="G20" s="22" t="str">
        <f aca="false">IF(E20="","",E20*F20)</f>
        <v/>
      </c>
      <c r="H20" s="9"/>
    </row>
    <row r="21" customFormat="false" ht="15" hidden="false" customHeight="false" outlineLevel="0" collapsed="false">
      <c r="A21" s="21"/>
      <c r="B21" s="9"/>
      <c r="C21" s="9"/>
      <c r="D21" s="9"/>
      <c r="E21" s="24"/>
      <c r="F21" s="22"/>
      <c r="G21" s="22" t="str">
        <f aca="false">IF(E21="","",E21*F21)</f>
        <v/>
      </c>
      <c r="H21" s="9"/>
    </row>
    <row r="22" customFormat="false" ht="15" hidden="false" customHeight="false" outlineLevel="0" collapsed="false">
      <c r="A22" s="21"/>
      <c r="B22" s="9"/>
      <c r="C22" s="9"/>
      <c r="D22" s="9"/>
      <c r="E22" s="24"/>
      <c r="F22" s="22"/>
      <c r="G22" s="22" t="str">
        <f aca="false">IF(E22="","",E22*F22)</f>
        <v/>
      </c>
      <c r="H22" s="9"/>
    </row>
    <row r="23" customFormat="false" ht="15" hidden="false" customHeight="false" outlineLevel="0" collapsed="false">
      <c r="A23" s="21"/>
      <c r="B23" s="9"/>
      <c r="C23" s="9"/>
      <c r="D23" s="9"/>
      <c r="E23" s="24"/>
      <c r="F23" s="22"/>
      <c r="G23" s="22" t="str">
        <f aca="false">IF(E23="","",E23*F23)</f>
        <v/>
      </c>
      <c r="H23" s="9"/>
    </row>
    <row r="24" customFormat="false" ht="15" hidden="false" customHeight="false" outlineLevel="0" collapsed="false">
      <c r="A24" s="21"/>
      <c r="B24" s="9"/>
      <c r="C24" s="9"/>
      <c r="D24" s="9"/>
      <c r="E24" s="24"/>
      <c r="F24" s="22"/>
      <c r="G24" s="22" t="str">
        <f aca="false">IF(E24="","",E24*F24)</f>
        <v/>
      </c>
      <c r="H24" s="9"/>
    </row>
    <row r="25" customFormat="false" ht="15" hidden="false" customHeight="false" outlineLevel="0" collapsed="false">
      <c r="A25" s="21"/>
      <c r="B25" s="9"/>
      <c r="C25" s="9"/>
      <c r="D25" s="9"/>
      <c r="E25" s="24"/>
      <c r="F25" s="22"/>
      <c r="G25" s="22" t="str">
        <f aca="false">IF(E25="","",E25*F25)</f>
        <v/>
      </c>
      <c r="H25" s="9"/>
    </row>
    <row r="26" customFormat="false" ht="15" hidden="false" customHeight="false" outlineLevel="0" collapsed="false">
      <c r="A26" s="21"/>
      <c r="B26" s="9"/>
      <c r="C26" s="9"/>
      <c r="D26" s="9"/>
      <c r="E26" s="24"/>
      <c r="F26" s="22"/>
      <c r="G26" s="22" t="str">
        <f aca="false">IF(E26="","",E26*F26)</f>
        <v/>
      </c>
      <c r="H26" s="9"/>
    </row>
    <row r="27" customFormat="false" ht="15" hidden="false" customHeight="false" outlineLevel="0" collapsed="false">
      <c r="A27" s="21"/>
      <c r="B27" s="9"/>
      <c r="C27" s="9"/>
      <c r="D27" s="9"/>
      <c r="E27" s="24"/>
      <c r="F27" s="22"/>
      <c r="G27" s="22" t="str">
        <f aca="false">IF(E27="","",E27*F27)</f>
        <v/>
      </c>
      <c r="H27" s="9"/>
    </row>
    <row r="28" customFormat="false" ht="15" hidden="false" customHeight="false" outlineLevel="0" collapsed="false">
      <c r="A28" s="21"/>
      <c r="B28" s="9"/>
      <c r="C28" s="9"/>
      <c r="D28" s="9"/>
      <c r="E28" s="24"/>
      <c r="F28" s="22"/>
      <c r="G28" s="22" t="str">
        <f aca="false">IF(E28="","",E28*F28)</f>
        <v/>
      </c>
      <c r="H28" s="9"/>
    </row>
    <row r="29" customFormat="false" ht="15" hidden="false" customHeight="false" outlineLevel="0" collapsed="false">
      <c r="A29" s="21"/>
      <c r="B29" s="9"/>
      <c r="C29" s="9"/>
      <c r="D29" s="9"/>
      <c r="E29" s="24"/>
      <c r="F29" s="22"/>
      <c r="G29" s="22" t="str">
        <f aca="false">IF(E29="","",E29*F29)</f>
        <v/>
      </c>
      <c r="H29" s="9"/>
    </row>
    <row r="30" customFormat="false" ht="15" hidden="false" customHeight="false" outlineLevel="0" collapsed="false">
      <c r="A30" s="21"/>
      <c r="B30" s="9"/>
      <c r="C30" s="9"/>
      <c r="D30" s="9"/>
      <c r="E30" s="24"/>
      <c r="F30" s="22"/>
      <c r="G30" s="22" t="str">
        <f aca="false">IF(E30="","",E30*F30)</f>
        <v/>
      </c>
      <c r="H30" s="9"/>
    </row>
    <row r="31" customFormat="false" ht="15" hidden="false" customHeight="false" outlineLevel="0" collapsed="false">
      <c r="A31" s="21"/>
      <c r="B31" s="9"/>
      <c r="C31" s="9"/>
      <c r="D31" s="9"/>
      <c r="E31" s="24"/>
      <c r="F31" s="22"/>
      <c r="G31" s="22" t="str">
        <f aca="false">IF(E31="","",E31*F31)</f>
        <v/>
      </c>
      <c r="H31" s="9"/>
    </row>
    <row r="32" customFormat="false" ht="15" hidden="false" customHeight="false" outlineLevel="0" collapsed="false">
      <c r="A32" s="21"/>
      <c r="B32" s="9"/>
      <c r="C32" s="9"/>
      <c r="D32" s="9"/>
      <c r="E32" s="24"/>
      <c r="F32" s="22"/>
      <c r="G32" s="22" t="str">
        <f aca="false">IF(E32="","",E32*F32)</f>
        <v/>
      </c>
      <c r="H32" s="9"/>
    </row>
    <row r="33" customFormat="false" ht="15" hidden="false" customHeight="false" outlineLevel="0" collapsed="false">
      <c r="A33" s="21"/>
      <c r="B33" s="9"/>
      <c r="C33" s="9"/>
      <c r="D33" s="9"/>
      <c r="E33" s="24"/>
      <c r="F33" s="22"/>
      <c r="G33" s="22" t="str">
        <f aca="false">IF(E33="","",E33*F33)</f>
        <v/>
      </c>
      <c r="H33" s="9"/>
    </row>
    <row r="34" customFormat="false" ht="15" hidden="false" customHeight="false" outlineLevel="0" collapsed="false">
      <c r="A34" s="21"/>
      <c r="B34" s="9"/>
      <c r="C34" s="9"/>
      <c r="D34" s="9"/>
      <c r="E34" s="24"/>
      <c r="F34" s="22"/>
      <c r="G34" s="22" t="str">
        <f aca="false">IF(E34="","",E34*F34)</f>
        <v/>
      </c>
      <c r="H34" s="9"/>
    </row>
    <row r="35" customFormat="false" ht="15" hidden="false" customHeight="false" outlineLevel="0" collapsed="false">
      <c r="A35" s="21"/>
      <c r="B35" s="9"/>
      <c r="C35" s="9"/>
      <c r="D35" s="9"/>
      <c r="E35" s="24"/>
      <c r="F35" s="22"/>
      <c r="G35" s="22" t="str">
        <f aca="false">IF(E35="","",E35*F35)</f>
        <v/>
      </c>
      <c r="H35" s="9"/>
    </row>
    <row r="36" customFormat="false" ht="15" hidden="false" customHeight="false" outlineLevel="0" collapsed="false">
      <c r="A36" s="21"/>
      <c r="B36" s="9"/>
      <c r="C36" s="9"/>
      <c r="D36" s="9"/>
      <c r="E36" s="24"/>
      <c r="F36" s="22"/>
      <c r="G36" s="22" t="str">
        <f aca="false">IF(E36="","",E36*F36)</f>
        <v/>
      </c>
      <c r="H36" s="9"/>
    </row>
    <row r="37" customFormat="false" ht="15" hidden="false" customHeight="false" outlineLevel="0" collapsed="false">
      <c r="A37" s="21"/>
      <c r="B37" s="9"/>
      <c r="C37" s="9"/>
      <c r="D37" s="9"/>
      <c r="E37" s="24"/>
      <c r="F37" s="22"/>
      <c r="G37" s="22" t="str">
        <f aca="false">IF(E37="","",E37*F37)</f>
        <v/>
      </c>
      <c r="H37" s="9"/>
    </row>
    <row r="38" customFormat="false" ht="15" hidden="false" customHeight="false" outlineLevel="0" collapsed="false">
      <c r="A38" s="21"/>
      <c r="B38" s="9"/>
      <c r="C38" s="9"/>
      <c r="D38" s="9"/>
      <c r="E38" s="24"/>
      <c r="F38" s="22"/>
      <c r="G38" s="22" t="str">
        <f aca="false">IF(E38="","",E38*F38)</f>
        <v/>
      </c>
      <c r="H38" s="9"/>
    </row>
    <row r="39" customFormat="false" ht="15" hidden="false" customHeight="false" outlineLevel="0" collapsed="false">
      <c r="A39" s="21"/>
      <c r="B39" s="9"/>
      <c r="C39" s="9"/>
      <c r="D39" s="9"/>
      <c r="E39" s="24"/>
      <c r="F39" s="22"/>
      <c r="G39" s="22" t="str">
        <f aca="false">IF(E39="","",E39*F39)</f>
        <v/>
      </c>
      <c r="H39" s="9"/>
    </row>
    <row r="40" customFormat="false" ht="15" hidden="false" customHeight="false" outlineLevel="0" collapsed="false">
      <c r="A40" s="21"/>
      <c r="B40" s="9"/>
      <c r="C40" s="9"/>
      <c r="D40" s="9"/>
      <c r="E40" s="24"/>
      <c r="F40" s="22"/>
      <c r="G40" s="22" t="str">
        <f aca="false">IF(E40="","",E40*F40)</f>
        <v/>
      </c>
      <c r="H40" s="9"/>
    </row>
    <row r="41" customFormat="false" ht="15" hidden="false" customHeight="false" outlineLevel="0" collapsed="false">
      <c r="A41" s="21"/>
      <c r="B41" s="9"/>
      <c r="C41" s="9"/>
      <c r="D41" s="9"/>
      <c r="E41" s="24"/>
      <c r="F41" s="22"/>
      <c r="G41" s="22" t="str">
        <f aca="false">IF(E41="","",E41*F41)</f>
        <v/>
      </c>
      <c r="H41" s="9"/>
    </row>
    <row r="42" customFormat="false" ht="15" hidden="false" customHeight="false" outlineLevel="0" collapsed="false">
      <c r="A42" s="21"/>
      <c r="B42" s="9"/>
      <c r="C42" s="9"/>
      <c r="D42" s="9"/>
      <c r="E42" s="24"/>
      <c r="F42" s="22"/>
      <c r="G42" s="22" t="str">
        <f aca="false">IF(E42="","",E42*F42)</f>
        <v/>
      </c>
      <c r="H42" s="9"/>
    </row>
    <row r="43" customFormat="false" ht="15" hidden="false" customHeight="false" outlineLevel="0" collapsed="false">
      <c r="A43" s="21"/>
      <c r="B43" s="9"/>
      <c r="C43" s="9"/>
      <c r="D43" s="9"/>
      <c r="E43" s="24"/>
      <c r="F43" s="22"/>
      <c r="G43" s="22" t="str">
        <f aca="false">IF(E43="","",E43*F43)</f>
        <v/>
      </c>
      <c r="H43" s="9"/>
    </row>
    <row r="44" customFormat="false" ht="15" hidden="false" customHeight="false" outlineLevel="0" collapsed="false">
      <c r="A44" s="21"/>
      <c r="B44" s="9"/>
      <c r="C44" s="9"/>
      <c r="D44" s="9"/>
      <c r="E44" s="24"/>
      <c r="F44" s="22"/>
      <c r="G44" s="22" t="str">
        <f aca="false">IF(E44="","",E44*F44)</f>
        <v/>
      </c>
      <c r="H44" s="9"/>
    </row>
    <row r="45" customFormat="false" ht="15" hidden="false" customHeight="false" outlineLevel="0" collapsed="false">
      <c r="A45" s="21"/>
      <c r="B45" s="9"/>
      <c r="C45" s="9"/>
      <c r="D45" s="9"/>
      <c r="E45" s="24"/>
      <c r="F45" s="22"/>
      <c r="G45" s="22" t="str">
        <f aca="false">IF(E45="","",E45*F45)</f>
        <v/>
      </c>
      <c r="H45" s="9"/>
    </row>
    <row r="46" customFormat="false" ht="15" hidden="false" customHeight="false" outlineLevel="0" collapsed="false">
      <c r="A46" s="21"/>
      <c r="B46" s="9"/>
      <c r="C46" s="9"/>
      <c r="D46" s="9"/>
      <c r="E46" s="24"/>
      <c r="F46" s="22"/>
      <c r="G46" s="22" t="str">
        <f aca="false">IF(E46="","",E46*F46)</f>
        <v/>
      </c>
      <c r="H46" s="9"/>
    </row>
    <row r="47" customFormat="false" ht="15" hidden="false" customHeight="false" outlineLevel="0" collapsed="false">
      <c r="A47" s="21"/>
      <c r="B47" s="9"/>
      <c r="C47" s="9"/>
      <c r="D47" s="9"/>
      <c r="E47" s="24"/>
      <c r="F47" s="22"/>
      <c r="G47" s="22" t="str">
        <f aca="false">IF(E47="","",E47*F47)</f>
        <v/>
      </c>
      <c r="H47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2"/>
  </cols>
  <sheetData>
    <row r="1" customFormat="false" ht="19.7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30" hidden="false" customHeight="true" outlineLevel="0" collapsed="false">
      <c r="A4" s="25"/>
      <c r="B4" s="26"/>
    </row>
    <row r="5" customFormat="false" ht="30" hidden="false" customHeight="true" outlineLevel="0" collapsed="false">
      <c r="A5" s="25" t="s">
        <v>93</v>
      </c>
      <c r="B5" s="26" t="s">
        <v>94</v>
      </c>
    </row>
    <row r="6" customFormat="false" ht="30" hidden="false" customHeight="true" outlineLevel="0" collapsed="false">
      <c r="A6" s="25" t="s">
        <v>95</v>
      </c>
      <c r="B6" s="26" t="s">
        <v>96</v>
      </c>
    </row>
    <row r="7" customFormat="false" ht="30" hidden="false" customHeight="true" outlineLevel="0" collapsed="false">
      <c r="A7" s="25" t="s">
        <v>97</v>
      </c>
      <c r="B7" s="26" t="s">
        <v>98</v>
      </c>
    </row>
    <row r="8" customFormat="false" ht="30" hidden="false" customHeight="true" outlineLevel="0" collapsed="false">
      <c r="A8" s="25" t="s">
        <v>99</v>
      </c>
      <c r="B8" s="26" t="s">
        <v>100</v>
      </c>
    </row>
    <row r="9" customFormat="false" ht="30" hidden="false" customHeight="true" outlineLevel="0" collapsed="false">
      <c r="A9" s="25" t="s">
        <v>101</v>
      </c>
      <c r="B9" s="26" t="s">
        <v>102</v>
      </c>
    </row>
    <row r="10" customFormat="false" ht="30" hidden="false" customHeight="true" outlineLevel="0" collapsed="false">
      <c r="A10" s="25" t="s">
        <v>103</v>
      </c>
      <c r="B10" s="26" t="s">
        <v>104</v>
      </c>
    </row>
    <row r="11" customFormat="false" ht="30" hidden="false" customHeight="true" outlineLevel="0" collapsed="false">
      <c r="A11" s="25" t="s">
        <v>105</v>
      </c>
      <c r="B11" s="26" t="s">
        <v>106</v>
      </c>
    </row>
    <row r="12" customFormat="false" ht="30" hidden="false" customHeight="true" outlineLevel="0" collapsed="false">
      <c r="A12" s="25" t="s">
        <v>107</v>
      </c>
      <c r="B12" s="26" t="s">
        <v>108</v>
      </c>
    </row>
    <row r="13" customFormat="false" ht="30" hidden="false" customHeight="true" outlineLevel="0" collapsed="false">
      <c r="A13" s="25" t="s">
        <v>109</v>
      </c>
      <c r="B13" s="26" t="s">
        <v>110</v>
      </c>
    </row>
    <row r="14" customFormat="false" ht="30" hidden="false" customHeight="true" outlineLevel="0" collapsed="false">
      <c r="A14" s="25" t="s">
        <v>111</v>
      </c>
      <c r="B14" s="26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2026-06-24T23:55:34Z</dcterms:created>
  <dc:creator>openpyxl</dc:creator>
  <dc:description/>
  <dc:language>en-US</dc:language>
  <cp:lastModifiedBy/>
  <dcterms:modified xsi:type="dcterms:W3CDTF">2026-06-24T23:55:34Z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